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_dashboard_market_segm" sheetId="1" r:id="rId5"/>
    <sheet state="visible" name="Pivot Table 2" sheetId="2" r:id="rId6"/>
    <sheet state="visible" name="risk_usage_commitment" sheetId="3" r:id="rId7"/>
    <sheet state="visible" name="Sheet3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<sst xmlns="http://schemas.openxmlformats.org/spreadsheetml/2006/main" count="233" uniqueCount="76">
  <si>
    <t>Market Segment</t>
  </si>
  <si>
    <t>Total Deals</t>
  </si>
  <si>
    <t>Pipeline Value</t>
  </si>
  <si>
    <t>Weighted Forecast</t>
  </si>
  <si>
    <t>Average Deal Size</t>
  </si>
  <si>
    <t>Enterprise</t>
  </si>
  <si>
    <t>Mid-Market</t>
  </si>
  <si>
    <t>SMB</t>
  </si>
  <si>
    <t>Segment</t>
  </si>
  <si>
    <t>Account</t>
  </si>
  <si>
    <t>SUM of Comitted Spend</t>
  </si>
  <si>
    <t>SUM of Actual Revenue</t>
  </si>
  <si>
    <t>ACC_14</t>
  </si>
  <si>
    <t>ACC_16</t>
  </si>
  <si>
    <t>ACC_19</t>
  </si>
  <si>
    <t>ACC_23</t>
  </si>
  <si>
    <t>ACC_24</t>
  </si>
  <si>
    <t>ACC_28</t>
  </si>
  <si>
    <t>ACC_3</t>
  </si>
  <si>
    <t>ACC_31</t>
  </si>
  <si>
    <t>ACC_38</t>
  </si>
  <si>
    <t>ACC_40</t>
  </si>
  <si>
    <t>ACC_45</t>
  </si>
  <si>
    <t>ACC_49</t>
  </si>
  <si>
    <t>ACC_8</t>
  </si>
  <si>
    <t>ACC_9</t>
  </si>
  <si>
    <t>Enterprise Total</t>
  </si>
  <si>
    <t>ACC_0</t>
  </si>
  <si>
    <t>ACC_1</t>
  </si>
  <si>
    <t>ACC_10</t>
  </si>
  <si>
    <t>ACC_11</t>
  </si>
  <si>
    <t>ACC_13</t>
  </si>
  <si>
    <t>ACC_15</t>
  </si>
  <si>
    <t>ACC_17</t>
  </si>
  <si>
    <t>ACC_18</t>
  </si>
  <si>
    <t>ACC_2</t>
  </si>
  <si>
    <t>ACC_26</t>
  </si>
  <si>
    <t>ACC_29</t>
  </si>
  <si>
    <t>ACC_30</t>
  </si>
  <si>
    <t>ACC_32</t>
  </si>
  <si>
    <t>ACC_33</t>
  </si>
  <si>
    <t>ACC_34</t>
  </si>
  <si>
    <t>ACC_36</t>
  </si>
  <si>
    <t>ACC_37</t>
  </si>
  <si>
    <t>ACC_39</t>
  </si>
  <si>
    <t>ACC_4</t>
  </si>
  <si>
    <t>ACC_42</t>
  </si>
  <si>
    <t>ACC_43</t>
  </si>
  <si>
    <t>ACC_44</t>
  </si>
  <si>
    <t>ACC_46</t>
  </si>
  <si>
    <t>ACC_48</t>
  </si>
  <si>
    <t>ACC_5</t>
  </si>
  <si>
    <t>ACC_6</t>
  </si>
  <si>
    <t>ACC_7</t>
  </si>
  <si>
    <t>Mid-Market Total</t>
  </si>
  <si>
    <t>ACC_12</t>
  </si>
  <si>
    <t>ACC_20</t>
  </si>
  <si>
    <t>ACC_21</t>
  </si>
  <si>
    <t>ACC_22</t>
  </si>
  <si>
    <t>ACC_25</t>
  </si>
  <si>
    <t>ACC_27</t>
  </si>
  <si>
    <t>ACC_35</t>
  </si>
  <si>
    <t>ACC_41</t>
  </si>
  <si>
    <t>ACC_47</t>
  </si>
  <si>
    <t>SMB Total</t>
  </si>
  <si>
    <t>Grand Total</t>
  </si>
  <si>
    <t>Comitted Spend</t>
  </si>
  <si>
    <t>Actual Revenue</t>
  </si>
  <si>
    <t>Percentage of Total Revenue per Spend</t>
  </si>
  <si>
    <t>Churn Risk Rating</t>
  </si>
  <si>
    <t>HIGH RISK - Under-utilization</t>
  </si>
  <si>
    <t>Market</t>
  </si>
  <si>
    <t>Total Working Deals</t>
  </si>
  <si>
    <t>Revenue Pipeline</t>
  </si>
  <si>
    <t>Weighted Revenue Pipeline</t>
  </si>
  <si>
    <t>Average Win Probability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</si>
</sst>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Fill="1" applyFont="1"/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left" readingOrder="0"/>
    </xf>
    <xf borderId="0" fillId="0" fontId="1" numFmtId="2" xfId="0" applyAlignment="1" applyFont="1" applyNumberForma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executive_dashboard_market_seg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sk_usage_commit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3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executive_dashboard_market_segm!$C$1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executive_dashboard_market_segm!$A$2:$A$1000</c:f>
            </c:strRef>
          </c:cat>
          <c:val>
            <c:numRef>
              <c:f>executive_dashboard_market_segm!$C$2:$C$1000</c:f>
              <c:numCache/>
            </c:numRef>
          </c:val>
        </c:ser>
        <c:ser>
          <c:idx val="1"/>
          <c:order val="1"/>
          <c:tx>
            <c:strRef>
              <c:f>executive_dashboard_market_segm!$D$1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executive_dashboard_market_segm!$A$2:$A$1000</c:f>
            </c:strRef>
          </c:cat>
          <c:val>
            <c:numRef>
              <c:f>executive_dashboard_market_segm!$D$2:$D$1000</c:f>
              <c:numCache/>
            </c:numRef>
          </c:val>
        </c:ser>
        <c:axId val="171330138"/>
        <c:axId val="1535860859"/>
      </c:barChart>
      <c:catAx>
        <c:axId val="171330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860859"/>
      </c:catAx>
      <c:valAx>
        <c:axId val="15358608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330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Deals by Market Segment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executive_dashboard_market_segm!$B$1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executive_dashboard_market_segm!$A$2:$A$1000</c:f>
            </c:strRef>
          </c:cat>
          <c:val>
            <c:numRef>
              <c:f>executive_dashboard_market_segm!$B$2:$B$1000</c:f>
              <c:numCache/>
            </c:numRef>
          </c:val>
        </c:ser>
        <c:axId val="1849604515"/>
        <c:axId val="1475675740"/>
      </c:barChart>
      <c:catAx>
        <c:axId val="1849604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675740"/>
      </c:catAx>
      <c:valAx>
        <c:axId val="147567574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96045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Deal Size by Market Segment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executive_dashboard_market_segm!$E$1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executive_dashboard_market_segm!$A$2:$A$1000</c:f>
            </c:strRef>
          </c:cat>
          <c:val>
            <c:numRef>
              <c:f>executive_dashboard_market_segm!$E$2:$E$1000</c:f>
              <c:numCache/>
            </c:numRef>
          </c:val>
        </c:ser>
        <c:axId val="1959947806"/>
        <c:axId val="2031712449"/>
      </c:barChart>
      <c:catAx>
        <c:axId val="1959947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712449"/>
      </c:catAx>
      <c:valAx>
        <c:axId val="203171244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947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0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95250</xdr:colOff>
      <xdr:row>0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9525</xdr:colOff>
      <xdr:row>18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51" sheet="risk_usage_commitment"/>
  </cacheSource>
  <cacheFields>
    <cacheField name="Account" numFmtId="0">
      <sharedItems>
        <s v="ACC_8"/>
        <s v="ACC_28"/>
        <s v="ACC_38"/>
        <s v="ACC_9"/>
        <s v="ACC_31"/>
        <s v="ACC_11"/>
        <s v="ACC_45"/>
        <s v="ACC_14"/>
        <s v="ACC_3"/>
        <s v="ACC_43"/>
        <s v="ACC_49"/>
        <s v="ACC_4"/>
        <s v="ACC_19"/>
        <s v="ACC_23"/>
        <s v="ACC_16"/>
        <s v="ACC_2"/>
        <s v="ACC_0"/>
        <s v="ACC_7"/>
        <s v="ACC_40"/>
        <s v="ACC_15"/>
        <s v="ACC_37"/>
        <s v="ACC_30"/>
        <s v="ACC_42"/>
        <s v="ACC_24"/>
        <s v="ACC_6"/>
        <s v="ACC_25"/>
        <s v="ACC_46"/>
        <s v="ACC_34"/>
        <s v="ACC_33"/>
        <s v="ACC_17"/>
        <s v="ACC_5"/>
        <s v="ACC_13"/>
        <s v="ACC_18"/>
        <s v="ACC_26"/>
        <s v="ACC_39"/>
        <s v="ACC_44"/>
        <s v="ACC_41"/>
        <s v="ACC_36"/>
        <s v="ACC_48"/>
        <s v="ACC_32"/>
        <s v="ACC_20"/>
        <s v="ACC_10"/>
        <s v="ACC_22"/>
        <s v="ACC_1"/>
        <s v="ACC_29"/>
        <s v="ACC_47"/>
        <s v="ACC_12"/>
        <s v="ACC_21"/>
        <s v="ACC_27"/>
        <s v="ACC_35"/>
      </sharedItems>
    </cacheField>
    <cacheField name="Segment" numFmtId="0">
      <sharedItems>
        <s v="Enterprise"/>
        <s v="Mid-Market"/>
        <s v="SMB"/>
      </sharedItems>
    </cacheField>
    <cacheField name="Comitted Spend" numFmtId="0">
      <sharedItems containsSemiMixedTypes="0" containsString="0" containsNumber="1">
        <n v="1520461.31"/>
        <n v="1141311.53"/>
        <n v="1126116.5"/>
        <n v="1948448.05"/>
        <n v="1115574.38"/>
        <n v="433277.96"/>
        <n v="1978475.68"/>
        <n v="1662699.24"/>
        <n v="1582998.16"/>
        <n v="264414.81"/>
        <n v="779777.77"/>
        <n v="346992.6"/>
        <n v="747900.41"/>
        <n v="1775057.87"/>
        <n v="1281251.39"/>
        <n v="340446.0"/>
        <n v="173373.92"/>
        <n v="493292.35"/>
        <n v="1105754.26"/>
        <n v="390908.8"/>
        <n v="444292.23"/>
        <n v="303428.28"/>
        <n v="499096.19"/>
        <n v="966473.48"/>
        <n v="282427.99"/>
        <n v="90977.02"/>
        <n v="247861.78"/>
        <n v="282613.83"/>
        <n v="349741.62"/>
        <n v="208539.61"/>
        <n v="216491.66"/>
        <n v="318684.11"/>
        <n v="212373.8"/>
        <n v="385297.91"/>
        <n v="235046.07"/>
        <n v="353740.54"/>
        <n v="75704.34"/>
        <n v="208852.9"/>
        <n v="136115.91"/>
        <n v="130791.96"/>
        <n v="35897.25"/>
        <n v="139068.85"/>
        <n v="94104.07"/>
        <n v="162397.81"/>
        <n v="112571.67"/>
        <n v="70584.47"/>
        <n v="73001.78"/>
        <n v="76907.36"/>
        <n v="81677.37"/>
        <n v="29767.04"/>
      </sharedItems>
    </cacheField>
    <cacheField name="Actual Revenue" numFmtId="0">
      <sharedItems containsSemiMixedTypes="0" containsString="0" containsNumber="1">
        <n v="1991.49"/>
        <n v="1694.16"/>
        <n v="2011.55"/>
        <n v="3782.19"/>
        <n v="2505.26"/>
        <n v="1118.2"/>
        <n v="5163.68"/>
        <n v="4648.26"/>
        <n v="4671.4"/>
        <n v="920.97"/>
        <n v="3047.36"/>
        <n v="1471.2"/>
        <n v="3845.32"/>
        <n v="9211.63"/>
        <n v="7108.69"/>
        <n v="2019.46"/>
        <n v="1103.46"/>
        <n v="3374.41"/>
        <n v="7616.79"/>
        <n v="3565.75"/>
        <n v="4463.36"/>
        <n v="3526.66"/>
        <n v="6300.7"/>
        <n v="12482.33"/>
        <n v="3756.06"/>
        <n v="1345.89"/>
        <n v="3949.83"/>
        <n v="4481.57"/>
        <n v="5827.18"/>
        <n v="3534.08"/>
        <n v="4029.62"/>
        <n v="6602.79"/>
        <n v="4442.04"/>
        <n v="9496.29"/>
        <n v="5955.03"/>
        <n v="9574.9"/>
        <n v="2188.44"/>
        <n v="7142.56"/>
        <n v="4743.44"/>
        <n v="4755.74"/>
        <n v="1318.97"/>
        <n v="5100.37"/>
        <n v="3691.12"/>
        <n v="6538.56"/>
        <n v="5661.22"/>
        <n v="4111.36"/>
        <n v="5558.56"/>
        <n v="6317.66"/>
        <n v="9632.31"/>
        <n v="4214.88"/>
      </sharedItems>
    </cacheField>
    <cacheField name="Percentage of Total Revenue per Spend" numFmtId="0">
      <sharedItems containsSemiMixedTypes="0" containsString="0" containsNumber="1">
        <n v="0.13"/>
        <n v="0.15"/>
        <n v="0.18"/>
        <n v="0.19"/>
        <n v="0.22"/>
        <n v="0.26"/>
        <n v="0.28"/>
        <n v="0.3"/>
        <n v="0.35"/>
        <n v="0.39"/>
        <n v="0.42"/>
        <n v="0.51"/>
        <n v="0.52"/>
        <n v="0.55"/>
        <n v="0.59"/>
        <n v="0.64"/>
        <n v="0.68"/>
        <n v="0.69"/>
        <n v="0.91"/>
        <n v="1.0"/>
        <n v="1.16"/>
        <n v="1.26"/>
        <n v="1.29"/>
        <n v="1.33"/>
        <n v="1.48"/>
        <n v="1.59"/>
        <n v="1.67"/>
        <n v="1.69"/>
        <n v="1.86"/>
        <n v="2.07"/>
        <n v="2.09"/>
        <n v="2.46"/>
        <n v="2.53"/>
        <n v="2.71"/>
        <n v="2.89"/>
        <n v="3.42"/>
        <n v="3.48"/>
        <n v="3.64"/>
        <n v="3.67"/>
        <n v="3.92"/>
        <n v="4.03"/>
        <n v="5.03"/>
        <n v="5.82"/>
        <n v="7.61"/>
        <n v="8.21"/>
        <n v="11.79"/>
        <n v="14.16"/>
      </sharedItems>
    </cacheField>
    <cacheField name="Churn Risk Rating" numFmtId="0">
      <sharedItems>
        <s v="HIGH RISK - Under-utilizatio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D55" firstHeaderRow="0" firstDataRow="3" firstDataCol="0"/>
  <pivotFields>
    <pivotField name="Account" axis="axisRow" compact="0" outline="0" multipleItemSelectionAllowed="1" showAll="0" sortType="ascending">
      <items>
        <item x="16"/>
        <item x="43"/>
        <item x="41"/>
        <item x="5"/>
        <item x="46"/>
        <item x="31"/>
        <item x="7"/>
        <item x="19"/>
        <item x="14"/>
        <item x="29"/>
        <item x="32"/>
        <item x="12"/>
        <item x="15"/>
        <item x="40"/>
        <item x="47"/>
        <item x="42"/>
        <item x="13"/>
        <item x="23"/>
        <item x="25"/>
        <item x="33"/>
        <item x="48"/>
        <item x="1"/>
        <item x="44"/>
        <item x="8"/>
        <item x="21"/>
        <item x="4"/>
        <item x="39"/>
        <item x="28"/>
        <item x="27"/>
        <item x="49"/>
        <item x="37"/>
        <item x="20"/>
        <item x="2"/>
        <item x="34"/>
        <item x="11"/>
        <item x="18"/>
        <item x="36"/>
        <item x="22"/>
        <item x="9"/>
        <item x="35"/>
        <item x="6"/>
        <item x="26"/>
        <item x="45"/>
        <item x="38"/>
        <item x="10"/>
        <item x="30"/>
        <item x="24"/>
        <item x="17"/>
        <item x="0"/>
        <item x="3"/>
        <item t="default"/>
      </items>
    </pivotField>
    <pivotField name="Segment" axis="axisRow" compact="0" outline="0" multipleItemSelectionAllowed="1" showAll="0" sortType="ascending">
      <items>
        <item x="0"/>
        <item x="1"/>
        <item x="2"/>
        <item t="default"/>
      </items>
    </pivotField>
    <pivotField name="Comitted Spe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Actu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ercentage of Total Revenue per Sp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Churn Risk Rating" compact="0" outline="0" multipleItemSelectionAllowed="1" showAll="0">
      <items>
        <item x="0"/>
        <item t="default"/>
      </items>
    </pivotField>
  </pivotFields>
  <rowFields>
    <field x="1"/>
    <field x="0"/>
  </rowFields>
  <colFields>
    <field x="-2"/>
  </colFields>
  <dataFields>
    <dataField name="SUM of Comitted Spend" fld="2" baseField="0"/>
    <dataField name="SUM of Actual Revenue" fld="3" baseField="0"/>
  </dataFields>
</pivotTableDefinition>
</file>

<file path=xl/tables/table1.xml><?xml version="1.0" encoding="utf-8"?>
<table xmlns="http://schemas.openxmlformats.org/spreadsheetml/2006/main" ref="A1:E4" displayName="dashboard" name="dashboard" id="1">
  <tableColumns count="5">
    <tableColumn name="Market Segment" id="1"/>
    <tableColumn name="Total Deals" id="2"/>
    <tableColumn name="Pipeline Value" id="3"/>
    <tableColumn name="Weighted Forecast" id="4"/>
    <tableColumn name="Average Deal Size" id="5"/>
  </tableColumns>
  <tableStyleInfo name="executive_dashboard_market_segm-style" showColumnStripes="0" showFirstColumn="1" showLastColumn="1" showRowStripes="1"/>
</table>
</file>

<file path=xl/tables/table2.xml><?xml version="1.0" encoding="utf-8"?>
<table xmlns="http://schemas.openxmlformats.org/spreadsheetml/2006/main" ref="A1:F51" displayName="Risk_usage_table" name="Risk_usage_table" id="2">
  <tableColumns count="6">
    <tableColumn name="Account" id="1"/>
    <tableColumn name="Segment" id="2"/>
    <tableColumn name="Comitted Spend" id="3"/>
    <tableColumn name="Actual Revenue" id="4"/>
    <tableColumn name="Percentage of Total Revenue per Spend" id="5"/>
    <tableColumn name="Churn Risk Rating" id="6"/>
  </tableColumns>
  <tableStyleInfo name="risk_usage_commitment-style" showColumnStripes="0" showFirstColumn="1" showLastColumn="1" showRowStripes="1"/>
</table>
</file>

<file path=xl/tables/table3.xml><?xml version="1.0" encoding="utf-8"?>
<table xmlns="http://schemas.openxmlformats.org/spreadsheetml/2006/main" ref="A1:E4" displayName="Table1" name="Table1" id="3">
  <tableColumns count="5">
    <tableColumn name="Market" id="1"/>
    <tableColumn name="Total Working Deals" id="2"/>
    <tableColumn name="Revenue Pipeline" id="3"/>
    <tableColumn name="Weighted Revenue Pipeline" id="4"/>
    <tableColumn name="Average Win Probability" id="5"/>
  </tableColumns>
  <tableStyleInfo name="Sheet3-style" showColumnStripes="0" showFirstColumn="1" showLastColumn="1" showRowStripes="1"/>
</table>
</file>

<file path=xl/tables/table4.xml><?xml version="1.0" encoding="utf-8"?>
<table xmlns="http://schemas.openxmlformats.org/spreadsheetml/2006/main" headerRowCount="0" ref="H2:H4" displayName="Table_1" name="Table_1" id="4">
  <tableColumns count="1">
    <tableColumn name="Column1" id="1"/>
  </tableColumns>
  <tableStyleInfo name="Sheet3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3.75"/>
    <col customWidth="1" min="3" max="3" width="19.25"/>
    <col customWidth="1" min="4" max="4" width="22.63"/>
    <col customWidth="1" min="5" max="5" width="2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</row>
    <row r="2" ht="22.5" customHeight="1">
      <c r="A2" s="3" t="s">
        <v>5</v>
      </c>
      <c r="B2" s="3">
        <v>33.0</v>
      </c>
      <c r="C2" s="4">
        <v>9590101.59</v>
      </c>
      <c r="D2" s="4">
        <v>4168633.67</v>
      </c>
      <c r="E2" s="4">
        <v>290609.14</v>
      </c>
      <c r="F2" s="2"/>
      <c r="G2" s="2"/>
      <c r="H2" s="2"/>
      <c r="I2" s="2"/>
      <c r="J2" s="2"/>
      <c r="K2" s="2"/>
      <c r="L2" s="2"/>
      <c r="M2" s="2"/>
    </row>
    <row r="3" ht="22.5" customHeight="1">
      <c r="A3" s="3" t="s">
        <v>6</v>
      </c>
      <c r="B3" s="3">
        <v>87.0</v>
      </c>
      <c r="C3" s="4">
        <v>5298930.67</v>
      </c>
      <c r="D3" s="4">
        <v>2272827.74</v>
      </c>
      <c r="E3" s="4">
        <v>60907.25</v>
      </c>
      <c r="F3" s="2"/>
      <c r="G3" s="2"/>
      <c r="H3" s="2"/>
      <c r="I3" s="2"/>
      <c r="J3" s="2"/>
      <c r="K3" s="2"/>
      <c r="L3" s="2"/>
      <c r="M3" s="2"/>
    </row>
    <row r="4" ht="22.5" customHeight="1">
      <c r="A4" s="3" t="s">
        <v>7</v>
      </c>
      <c r="B4" s="3">
        <v>36.0</v>
      </c>
      <c r="C4" s="4">
        <v>524120.52</v>
      </c>
      <c r="D4" s="4">
        <v>225496.88</v>
      </c>
      <c r="E4" s="4">
        <v>14558.9</v>
      </c>
      <c r="F4" s="2"/>
      <c r="G4" s="2"/>
      <c r="H4" s="2"/>
      <c r="I4" s="2"/>
      <c r="J4" s="2"/>
      <c r="K4" s="2"/>
      <c r="L4" s="2"/>
      <c r="M4" s="2"/>
    </row>
    <row r="5">
      <c r="F5" s="2"/>
      <c r="G5" s="2"/>
      <c r="H5" s="2"/>
      <c r="I5" s="2"/>
      <c r="J5" s="2"/>
      <c r="K5" s="2"/>
      <c r="L5" s="2"/>
      <c r="M5" s="2"/>
    </row>
    <row r="6">
      <c r="F6" s="2"/>
      <c r="G6" s="2"/>
      <c r="H6" s="2"/>
      <c r="I6" s="2"/>
      <c r="J6" s="2"/>
      <c r="K6" s="2"/>
      <c r="L6" s="2"/>
      <c r="M6" s="2"/>
    </row>
    <row r="7">
      <c r="F7" s="2"/>
      <c r="G7" s="2"/>
      <c r="H7" s="2"/>
      <c r="I7" s="2"/>
      <c r="J7" s="2"/>
      <c r="K7" s="2"/>
      <c r="L7" s="2"/>
      <c r="M7" s="2"/>
    </row>
    <row r="8">
      <c r="F8" s="2"/>
      <c r="G8" s="2"/>
      <c r="H8" s="2"/>
      <c r="I8" s="2"/>
      <c r="J8" s="2"/>
      <c r="K8" s="2"/>
      <c r="L8" s="2"/>
      <c r="M8" s="2"/>
    </row>
    <row r="9">
      <c r="F9" s="2"/>
      <c r="G9" s="2"/>
      <c r="H9" s="2"/>
      <c r="I9" s="2"/>
      <c r="J9" s="2"/>
      <c r="K9" s="2"/>
      <c r="L9" s="2"/>
      <c r="M9" s="2"/>
    </row>
    <row r="10">
      <c r="F10" s="2"/>
      <c r="G10" s="2"/>
      <c r="H10" s="2"/>
      <c r="I10" s="2"/>
      <c r="J10" s="2"/>
      <c r="K10" s="2"/>
      <c r="L10" s="2"/>
      <c r="M10" s="2"/>
    </row>
    <row r="11">
      <c r="F11" s="2"/>
      <c r="G11" s="2"/>
      <c r="H11" s="2"/>
      <c r="I11" s="2"/>
      <c r="J11" s="2"/>
      <c r="K11" s="2"/>
      <c r="L11" s="2"/>
      <c r="M11" s="2"/>
    </row>
    <row r="12">
      <c r="F12" s="2"/>
      <c r="G12" s="2"/>
      <c r="H12" s="2"/>
      <c r="I12" s="2"/>
      <c r="J12" s="2"/>
      <c r="K12" s="2"/>
      <c r="L12" s="2"/>
      <c r="M12" s="2"/>
    </row>
    <row r="13">
      <c r="F13" s="2"/>
      <c r="G13" s="2"/>
      <c r="H13" s="2"/>
      <c r="I13" s="2"/>
      <c r="J13" s="2"/>
      <c r="K13" s="2"/>
      <c r="L13" s="2"/>
      <c r="M13" s="2"/>
    </row>
    <row r="14">
      <c r="F14" s="2"/>
      <c r="G14" s="2"/>
      <c r="H14" s="2"/>
      <c r="I14" s="2"/>
      <c r="J14" s="2"/>
      <c r="K14" s="2"/>
      <c r="L14" s="2"/>
      <c r="M14" s="2"/>
    </row>
    <row r="15">
      <c r="F15" s="2"/>
      <c r="G15" s="2"/>
      <c r="H15" s="2"/>
      <c r="I15" s="2"/>
      <c r="J15" s="2"/>
      <c r="K15" s="2"/>
      <c r="L15" s="2"/>
      <c r="M15" s="2"/>
    </row>
    <row r="16">
      <c r="F16" s="2"/>
      <c r="G16" s="2"/>
      <c r="H16" s="2"/>
      <c r="I16" s="2"/>
      <c r="J16" s="2"/>
      <c r="K16" s="2"/>
      <c r="L16" s="2"/>
      <c r="M16" s="2"/>
    </row>
    <row r="17">
      <c r="F17" s="2"/>
      <c r="G17" s="2"/>
      <c r="H17" s="2"/>
      <c r="I17" s="2"/>
      <c r="J17" s="2"/>
      <c r="K17" s="2"/>
      <c r="L17" s="2"/>
      <c r="M17" s="2"/>
    </row>
    <row r="18">
      <c r="F18" s="2"/>
      <c r="G18" s="2"/>
      <c r="H18" s="2"/>
      <c r="I18" s="2"/>
      <c r="J18" s="2"/>
      <c r="K18" s="2"/>
      <c r="L18" s="2"/>
      <c r="M18" s="2"/>
    </row>
    <row r="19">
      <c r="F19" s="2"/>
      <c r="G19" s="2"/>
      <c r="H19" s="2"/>
      <c r="I19" s="2"/>
      <c r="J19" s="2"/>
      <c r="K19" s="2"/>
      <c r="L19" s="2"/>
      <c r="M19" s="2"/>
    </row>
    <row r="20">
      <c r="F20" s="2"/>
      <c r="G20" s="2"/>
      <c r="H20" s="2"/>
      <c r="I20" s="2"/>
      <c r="J20" s="2"/>
      <c r="K20" s="2"/>
      <c r="L20" s="2"/>
      <c r="M20" s="2"/>
    </row>
    <row r="21">
      <c r="F21" s="2"/>
      <c r="G21" s="2"/>
      <c r="H21" s="2"/>
      <c r="I21" s="2"/>
      <c r="J21" s="2"/>
      <c r="K21" s="2"/>
      <c r="L21" s="2"/>
      <c r="M21" s="2"/>
    </row>
  </sheetData>
  <dataValidations>
    <dataValidation type="custom" allowBlank="1" showDropDown="1" sqref="C2:E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0"/>
    <col customWidth="1" min="3" max="3" width="18.75"/>
    <col customWidth="1" min="4" max="4" width="33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38"/>
    <col customWidth="1" min="4" max="4" width="17.0"/>
    <col customWidth="1" min="5" max="5" width="34.63"/>
    <col customWidth="1" min="6" max="6" width="23.5"/>
  </cols>
  <sheetData>
    <row r="1" ht="22.5" customHeight="1">
      <c r="A1" s="1" t="s">
        <v>9</v>
      </c>
      <c r="B1" s="1" t="s">
        <v>8</v>
      </c>
      <c r="C1" s="1" t="s">
        <v>66</v>
      </c>
      <c r="D1" s="1" t="s">
        <v>67</v>
      </c>
      <c r="E1" s="1" t="s">
        <v>68</v>
      </c>
      <c r="F1" s="1" t="s">
        <v>69</v>
      </c>
    </row>
    <row r="2" ht="22.5" customHeight="1">
      <c r="A2" s="3" t="s">
        <v>24</v>
      </c>
      <c r="B2" s="3" t="s">
        <v>5</v>
      </c>
      <c r="C2" s="3">
        <v>1520461.31</v>
      </c>
      <c r="D2" s="3">
        <v>1991.49</v>
      </c>
      <c r="E2" s="3">
        <v>0.13</v>
      </c>
      <c r="F2" s="3" t="s">
        <v>70</v>
      </c>
    </row>
    <row r="3" ht="22.5" customHeight="1">
      <c r="A3" s="3" t="s">
        <v>17</v>
      </c>
      <c r="B3" s="3" t="s">
        <v>5</v>
      </c>
      <c r="C3" s="3">
        <v>1141311.53</v>
      </c>
      <c r="D3" s="3">
        <v>1694.16</v>
      </c>
      <c r="E3" s="3">
        <v>0.15</v>
      </c>
      <c r="F3" s="3" t="s">
        <v>70</v>
      </c>
    </row>
    <row r="4" ht="22.5" customHeight="1">
      <c r="A4" s="3" t="s">
        <v>20</v>
      </c>
      <c r="B4" s="3" t="s">
        <v>5</v>
      </c>
      <c r="C4" s="3">
        <v>1126116.5</v>
      </c>
      <c r="D4" s="3">
        <v>2011.55</v>
      </c>
      <c r="E4" s="3">
        <v>0.18</v>
      </c>
      <c r="F4" s="3" t="s">
        <v>70</v>
      </c>
    </row>
    <row r="5" ht="22.5" customHeight="1">
      <c r="A5" s="3" t="s">
        <v>25</v>
      </c>
      <c r="B5" s="3" t="s">
        <v>5</v>
      </c>
      <c r="C5" s="3">
        <v>1948448.05</v>
      </c>
      <c r="D5" s="3">
        <v>3782.19</v>
      </c>
      <c r="E5" s="3">
        <v>0.19</v>
      </c>
      <c r="F5" s="3" t="s">
        <v>70</v>
      </c>
    </row>
    <row r="6" ht="22.5" customHeight="1">
      <c r="A6" s="3" t="s">
        <v>19</v>
      </c>
      <c r="B6" s="3" t="s">
        <v>5</v>
      </c>
      <c r="C6" s="3">
        <v>1115574.38</v>
      </c>
      <c r="D6" s="3">
        <v>2505.26</v>
      </c>
      <c r="E6" s="3">
        <v>0.22</v>
      </c>
      <c r="F6" s="3" t="s">
        <v>70</v>
      </c>
    </row>
    <row r="7" ht="22.5" customHeight="1">
      <c r="A7" s="3" t="s">
        <v>30</v>
      </c>
      <c r="B7" s="3" t="s">
        <v>6</v>
      </c>
      <c r="C7" s="3">
        <v>433277.96</v>
      </c>
      <c r="D7" s="3">
        <v>1118.2</v>
      </c>
      <c r="E7" s="3">
        <v>0.26</v>
      </c>
      <c r="F7" s="3" t="s">
        <v>70</v>
      </c>
    </row>
    <row r="8" ht="22.5" customHeight="1">
      <c r="A8" s="3" t="s">
        <v>22</v>
      </c>
      <c r="B8" s="3" t="s">
        <v>5</v>
      </c>
      <c r="C8" s="3">
        <v>1978475.68</v>
      </c>
      <c r="D8" s="3">
        <v>5163.68</v>
      </c>
      <c r="E8" s="3">
        <v>0.26</v>
      </c>
      <c r="F8" s="3" t="s">
        <v>70</v>
      </c>
    </row>
    <row r="9" ht="22.5" customHeight="1">
      <c r="A9" s="3" t="s">
        <v>12</v>
      </c>
      <c r="B9" s="3" t="s">
        <v>5</v>
      </c>
      <c r="C9" s="3">
        <v>1662699.24</v>
      </c>
      <c r="D9" s="3">
        <v>4648.26</v>
      </c>
      <c r="E9" s="3">
        <v>0.28</v>
      </c>
      <c r="F9" s="3" t="s">
        <v>70</v>
      </c>
    </row>
    <row r="10" ht="22.5" customHeight="1">
      <c r="A10" s="3" t="s">
        <v>18</v>
      </c>
      <c r="B10" s="3" t="s">
        <v>5</v>
      </c>
      <c r="C10" s="3">
        <v>1582998.16</v>
      </c>
      <c r="D10" s="3">
        <v>4671.4</v>
      </c>
      <c r="E10" s="3">
        <v>0.3</v>
      </c>
      <c r="F10" s="3" t="s">
        <v>70</v>
      </c>
    </row>
    <row r="11" ht="22.5" customHeight="1">
      <c r="A11" s="3" t="s">
        <v>47</v>
      </c>
      <c r="B11" s="3" t="s">
        <v>6</v>
      </c>
      <c r="C11" s="3">
        <v>264414.81</v>
      </c>
      <c r="D11" s="3">
        <v>920.97</v>
      </c>
      <c r="E11" s="3">
        <v>0.35</v>
      </c>
      <c r="F11" s="3" t="s">
        <v>70</v>
      </c>
    </row>
    <row r="12" ht="22.5" customHeight="1">
      <c r="A12" s="3" t="s">
        <v>23</v>
      </c>
      <c r="B12" s="3" t="s">
        <v>5</v>
      </c>
      <c r="C12" s="3">
        <v>779777.77</v>
      </c>
      <c r="D12" s="3">
        <v>3047.36</v>
      </c>
      <c r="E12" s="3">
        <v>0.39</v>
      </c>
      <c r="F12" s="3" t="s">
        <v>70</v>
      </c>
    </row>
    <row r="13" ht="22.5" customHeight="1">
      <c r="A13" s="3" t="s">
        <v>45</v>
      </c>
      <c r="B13" s="3" t="s">
        <v>6</v>
      </c>
      <c r="C13" s="3">
        <v>346992.6</v>
      </c>
      <c r="D13" s="3">
        <v>1471.2</v>
      </c>
      <c r="E13" s="3">
        <v>0.42</v>
      </c>
      <c r="F13" s="3" t="s">
        <v>70</v>
      </c>
    </row>
    <row r="14" ht="22.5" customHeight="1">
      <c r="A14" s="3" t="s">
        <v>14</v>
      </c>
      <c r="B14" s="3" t="s">
        <v>5</v>
      </c>
      <c r="C14" s="3">
        <v>747900.41</v>
      </c>
      <c r="D14" s="3">
        <v>3845.32</v>
      </c>
      <c r="E14" s="3">
        <v>0.51</v>
      </c>
      <c r="F14" s="3" t="s">
        <v>70</v>
      </c>
    </row>
    <row r="15" ht="22.5" customHeight="1">
      <c r="A15" s="3" t="s">
        <v>15</v>
      </c>
      <c r="B15" s="3" t="s">
        <v>5</v>
      </c>
      <c r="C15" s="3">
        <v>1775057.87</v>
      </c>
      <c r="D15" s="3">
        <v>9211.63</v>
      </c>
      <c r="E15" s="3">
        <v>0.52</v>
      </c>
      <c r="F15" s="3" t="s">
        <v>70</v>
      </c>
    </row>
    <row r="16" ht="22.5" customHeight="1">
      <c r="A16" s="3" t="s">
        <v>13</v>
      </c>
      <c r="B16" s="3" t="s">
        <v>5</v>
      </c>
      <c r="C16" s="3">
        <v>1281251.39</v>
      </c>
      <c r="D16" s="3">
        <v>7108.69</v>
      </c>
      <c r="E16" s="3">
        <v>0.55</v>
      </c>
      <c r="F16" s="3" t="s">
        <v>70</v>
      </c>
    </row>
    <row r="17" ht="22.5" customHeight="1">
      <c r="A17" s="3" t="s">
        <v>35</v>
      </c>
      <c r="B17" s="3" t="s">
        <v>6</v>
      </c>
      <c r="C17" s="3">
        <v>340446.0</v>
      </c>
      <c r="D17" s="3">
        <v>2019.46</v>
      </c>
      <c r="E17" s="3">
        <v>0.59</v>
      </c>
      <c r="F17" s="3" t="s">
        <v>70</v>
      </c>
    </row>
    <row r="18" ht="22.5" customHeight="1">
      <c r="A18" s="3" t="s">
        <v>27</v>
      </c>
      <c r="B18" s="3" t="s">
        <v>6</v>
      </c>
      <c r="C18" s="3">
        <v>173373.92</v>
      </c>
      <c r="D18" s="3">
        <v>1103.46</v>
      </c>
      <c r="E18" s="3">
        <v>0.64</v>
      </c>
      <c r="F18" s="3" t="s">
        <v>70</v>
      </c>
    </row>
    <row r="19" ht="22.5" customHeight="1">
      <c r="A19" s="3" t="s">
        <v>53</v>
      </c>
      <c r="B19" s="3" t="s">
        <v>6</v>
      </c>
      <c r="C19" s="3">
        <v>493292.35</v>
      </c>
      <c r="D19" s="3">
        <v>3374.41</v>
      </c>
      <c r="E19" s="3">
        <v>0.68</v>
      </c>
      <c r="F19" s="3" t="s">
        <v>70</v>
      </c>
    </row>
    <row r="20" ht="22.5" customHeight="1">
      <c r="A20" s="3" t="s">
        <v>21</v>
      </c>
      <c r="B20" s="3" t="s">
        <v>5</v>
      </c>
      <c r="C20" s="3">
        <v>1105754.26</v>
      </c>
      <c r="D20" s="3">
        <v>7616.79</v>
      </c>
      <c r="E20" s="3">
        <v>0.69</v>
      </c>
      <c r="F20" s="3" t="s">
        <v>70</v>
      </c>
    </row>
    <row r="21" ht="22.5" customHeight="1">
      <c r="A21" s="3" t="s">
        <v>32</v>
      </c>
      <c r="B21" s="3" t="s">
        <v>6</v>
      </c>
      <c r="C21" s="3">
        <v>390908.8</v>
      </c>
      <c r="D21" s="3">
        <v>3565.75</v>
      </c>
      <c r="E21" s="3">
        <v>0.91</v>
      </c>
      <c r="F21" s="3" t="s">
        <v>70</v>
      </c>
    </row>
    <row r="22" ht="22.5" customHeight="1">
      <c r="A22" s="3" t="s">
        <v>43</v>
      </c>
      <c r="B22" s="3" t="s">
        <v>6</v>
      </c>
      <c r="C22" s="3">
        <v>444292.23</v>
      </c>
      <c r="D22" s="3">
        <v>4463.36</v>
      </c>
      <c r="E22" s="3">
        <v>1.0</v>
      </c>
      <c r="F22" s="3" t="s">
        <v>70</v>
      </c>
    </row>
    <row r="23" ht="22.5" customHeight="1">
      <c r="A23" s="3" t="s">
        <v>38</v>
      </c>
      <c r="B23" s="3" t="s">
        <v>6</v>
      </c>
      <c r="C23" s="3">
        <v>303428.28</v>
      </c>
      <c r="D23" s="3">
        <v>3526.66</v>
      </c>
      <c r="E23" s="3">
        <v>1.16</v>
      </c>
      <c r="F23" s="3" t="s">
        <v>70</v>
      </c>
    </row>
    <row r="24" ht="22.5" customHeight="1">
      <c r="A24" s="3" t="s">
        <v>46</v>
      </c>
      <c r="B24" s="3" t="s">
        <v>6</v>
      </c>
      <c r="C24" s="3">
        <v>499096.19</v>
      </c>
      <c r="D24" s="3">
        <v>6300.7</v>
      </c>
      <c r="E24" s="3">
        <v>1.26</v>
      </c>
      <c r="F24" s="3" t="s">
        <v>70</v>
      </c>
    </row>
    <row r="25" ht="22.5" customHeight="1">
      <c r="A25" s="3" t="s">
        <v>16</v>
      </c>
      <c r="B25" s="3" t="s">
        <v>5</v>
      </c>
      <c r="C25" s="3">
        <v>966473.48</v>
      </c>
      <c r="D25" s="3">
        <v>12482.33</v>
      </c>
      <c r="E25" s="3">
        <v>1.29</v>
      </c>
      <c r="F25" s="3" t="s">
        <v>70</v>
      </c>
    </row>
    <row r="26" ht="22.5" customHeight="1">
      <c r="A26" s="3" t="s">
        <v>52</v>
      </c>
      <c r="B26" s="3" t="s">
        <v>6</v>
      </c>
      <c r="C26" s="3">
        <v>282427.99</v>
      </c>
      <c r="D26" s="3">
        <v>3756.06</v>
      </c>
      <c r="E26" s="3">
        <v>1.33</v>
      </c>
      <c r="F26" s="3" t="s">
        <v>70</v>
      </c>
    </row>
    <row r="27" ht="22.5" customHeight="1">
      <c r="A27" s="3" t="s">
        <v>59</v>
      </c>
      <c r="B27" s="3" t="s">
        <v>7</v>
      </c>
      <c r="C27" s="3">
        <v>90977.02</v>
      </c>
      <c r="D27" s="3">
        <v>1345.89</v>
      </c>
      <c r="E27" s="3">
        <v>1.48</v>
      </c>
      <c r="F27" s="3" t="s">
        <v>70</v>
      </c>
    </row>
    <row r="28" ht="22.5" customHeight="1">
      <c r="A28" s="3" t="s">
        <v>49</v>
      </c>
      <c r="B28" s="3" t="s">
        <v>6</v>
      </c>
      <c r="C28" s="3">
        <v>247861.78</v>
      </c>
      <c r="D28" s="3">
        <v>3949.83</v>
      </c>
      <c r="E28" s="3">
        <v>1.59</v>
      </c>
      <c r="F28" s="3" t="s">
        <v>70</v>
      </c>
    </row>
    <row r="29" ht="22.5" customHeight="1">
      <c r="A29" s="3" t="s">
        <v>41</v>
      </c>
      <c r="B29" s="3" t="s">
        <v>6</v>
      </c>
      <c r="C29" s="3">
        <v>282613.83</v>
      </c>
      <c r="D29" s="3">
        <v>4481.57</v>
      </c>
      <c r="E29" s="3">
        <v>1.59</v>
      </c>
      <c r="F29" s="3" t="s">
        <v>70</v>
      </c>
    </row>
    <row r="30" ht="22.5" customHeight="1">
      <c r="A30" s="3" t="s">
        <v>40</v>
      </c>
      <c r="B30" s="3" t="s">
        <v>6</v>
      </c>
      <c r="C30" s="3">
        <v>349741.62</v>
      </c>
      <c r="D30" s="3">
        <v>5827.18</v>
      </c>
      <c r="E30" s="3">
        <v>1.67</v>
      </c>
      <c r="F30" s="3" t="s">
        <v>70</v>
      </c>
    </row>
    <row r="31" ht="22.5" customHeight="1">
      <c r="A31" s="3" t="s">
        <v>33</v>
      </c>
      <c r="B31" s="3" t="s">
        <v>6</v>
      </c>
      <c r="C31" s="3">
        <v>208539.61</v>
      </c>
      <c r="D31" s="3">
        <v>3534.08</v>
      </c>
      <c r="E31" s="3">
        <v>1.69</v>
      </c>
      <c r="F31" s="3" t="s">
        <v>70</v>
      </c>
    </row>
    <row r="32" ht="22.5" customHeight="1">
      <c r="A32" s="3" t="s">
        <v>51</v>
      </c>
      <c r="B32" s="3" t="s">
        <v>6</v>
      </c>
      <c r="C32" s="3">
        <v>216491.66</v>
      </c>
      <c r="D32" s="3">
        <v>4029.62</v>
      </c>
      <c r="E32" s="3">
        <v>1.86</v>
      </c>
      <c r="F32" s="3" t="s">
        <v>70</v>
      </c>
    </row>
    <row r="33" ht="22.5" customHeight="1">
      <c r="A33" s="3" t="s">
        <v>31</v>
      </c>
      <c r="B33" s="3" t="s">
        <v>6</v>
      </c>
      <c r="C33" s="3">
        <v>318684.11</v>
      </c>
      <c r="D33" s="3">
        <v>6602.79</v>
      </c>
      <c r="E33" s="3">
        <v>2.07</v>
      </c>
      <c r="F33" s="3" t="s">
        <v>70</v>
      </c>
    </row>
    <row r="34" ht="22.5" customHeight="1">
      <c r="A34" s="3" t="s">
        <v>34</v>
      </c>
      <c r="B34" s="3" t="s">
        <v>6</v>
      </c>
      <c r="C34" s="3">
        <v>212373.8</v>
      </c>
      <c r="D34" s="3">
        <v>4442.04</v>
      </c>
      <c r="E34" s="3">
        <v>2.09</v>
      </c>
      <c r="F34" s="3" t="s">
        <v>70</v>
      </c>
    </row>
    <row r="35" ht="22.5" customHeight="1">
      <c r="A35" s="3" t="s">
        <v>36</v>
      </c>
      <c r="B35" s="3" t="s">
        <v>6</v>
      </c>
      <c r="C35" s="3">
        <v>385297.91</v>
      </c>
      <c r="D35" s="3">
        <v>9496.29</v>
      </c>
      <c r="E35" s="3">
        <v>2.46</v>
      </c>
      <c r="F35" s="3" t="s">
        <v>70</v>
      </c>
    </row>
    <row r="36" ht="22.5" customHeight="1">
      <c r="A36" s="3" t="s">
        <v>44</v>
      </c>
      <c r="B36" s="3" t="s">
        <v>6</v>
      </c>
      <c r="C36" s="3">
        <v>235046.07</v>
      </c>
      <c r="D36" s="3">
        <v>5955.03</v>
      </c>
      <c r="E36" s="3">
        <v>2.53</v>
      </c>
      <c r="F36" s="3" t="s">
        <v>70</v>
      </c>
    </row>
    <row r="37" ht="22.5" customHeight="1">
      <c r="A37" s="3" t="s">
        <v>48</v>
      </c>
      <c r="B37" s="3" t="s">
        <v>6</v>
      </c>
      <c r="C37" s="3">
        <v>353740.54</v>
      </c>
      <c r="D37" s="3">
        <v>9574.9</v>
      </c>
      <c r="E37" s="3">
        <v>2.71</v>
      </c>
      <c r="F37" s="3" t="s">
        <v>70</v>
      </c>
    </row>
    <row r="38" ht="22.5" customHeight="1">
      <c r="A38" s="3" t="s">
        <v>62</v>
      </c>
      <c r="B38" s="3" t="s">
        <v>7</v>
      </c>
      <c r="C38" s="3">
        <v>75704.34</v>
      </c>
      <c r="D38" s="3">
        <v>2188.44</v>
      </c>
      <c r="E38" s="3">
        <v>2.89</v>
      </c>
      <c r="F38" s="3" t="s">
        <v>70</v>
      </c>
    </row>
    <row r="39" ht="22.5" customHeight="1">
      <c r="A39" s="3" t="s">
        <v>42</v>
      </c>
      <c r="B39" s="3" t="s">
        <v>6</v>
      </c>
      <c r="C39" s="3">
        <v>208852.9</v>
      </c>
      <c r="D39" s="3">
        <v>7142.56</v>
      </c>
      <c r="E39" s="3">
        <v>3.42</v>
      </c>
      <c r="F39" s="3" t="s">
        <v>70</v>
      </c>
    </row>
    <row r="40" ht="22.5" customHeight="1">
      <c r="A40" s="3" t="s">
        <v>50</v>
      </c>
      <c r="B40" s="3" t="s">
        <v>6</v>
      </c>
      <c r="C40" s="3">
        <v>136115.91</v>
      </c>
      <c r="D40" s="3">
        <v>4743.44</v>
      </c>
      <c r="E40" s="3">
        <v>3.48</v>
      </c>
      <c r="F40" s="3" t="s">
        <v>70</v>
      </c>
    </row>
    <row r="41" ht="22.5" customHeight="1">
      <c r="A41" s="3" t="s">
        <v>39</v>
      </c>
      <c r="B41" s="3" t="s">
        <v>6</v>
      </c>
      <c r="C41" s="3">
        <v>130791.96</v>
      </c>
      <c r="D41" s="3">
        <v>4755.74</v>
      </c>
      <c r="E41" s="3">
        <v>3.64</v>
      </c>
      <c r="F41" s="3" t="s">
        <v>70</v>
      </c>
    </row>
    <row r="42" ht="22.5" customHeight="1">
      <c r="A42" s="3" t="s">
        <v>56</v>
      </c>
      <c r="B42" s="3" t="s">
        <v>7</v>
      </c>
      <c r="C42" s="3">
        <v>35897.25</v>
      </c>
      <c r="D42" s="3">
        <v>1318.97</v>
      </c>
      <c r="E42" s="3">
        <v>3.67</v>
      </c>
      <c r="F42" s="3" t="s">
        <v>70</v>
      </c>
    </row>
    <row r="43" ht="22.5" customHeight="1">
      <c r="A43" s="3" t="s">
        <v>29</v>
      </c>
      <c r="B43" s="3" t="s">
        <v>6</v>
      </c>
      <c r="C43" s="3">
        <v>139068.85</v>
      </c>
      <c r="D43" s="3">
        <v>5100.37</v>
      </c>
      <c r="E43" s="3">
        <v>3.67</v>
      </c>
      <c r="F43" s="3" t="s">
        <v>70</v>
      </c>
    </row>
    <row r="44" ht="22.5" customHeight="1">
      <c r="A44" s="3" t="s">
        <v>58</v>
      </c>
      <c r="B44" s="3" t="s">
        <v>7</v>
      </c>
      <c r="C44" s="3">
        <v>94104.07</v>
      </c>
      <c r="D44" s="3">
        <v>3691.12</v>
      </c>
      <c r="E44" s="3">
        <v>3.92</v>
      </c>
      <c r="F44" s="3" t="s">
        <v>70</v>
      </c>
    </row>
    <row r="45" ht="22.5" customHeight="1">
      <c r="A45" s="3" t="s">
        <v>28</v>
      </c>
      <c r="B45" s="3" t="s">
        <v>6</v>
      </c>
      <c r="C45" s="3">
        <v>162397.81</v>
      </c>
      <c r="D45" s="3">
        <v>6538.56</v>
      </c>
      <c r="E45" s="3">
        <v>4.03</v>
      </c>
      <c r="F45" s="3" t="s">
        <v>70</v>
      </c>
    </row>
    <row r="46" ht="22.5" customHeight="1">
      <c r="A46" s="3" t="s">
        <v>37</v>
      </c>
      <c r="B46" s="3" t="s">
        <v>6</v>
      </c>
      <c r="C46" s="3">
        <v>112571.67</v>
      </c>
      <c r="D46" s="3">
        <v>5661.22</v>
      </c>
      <c r="E46" s="3">
        <v>5.03</v>
      </c>
      <c r="F46" s="3" t="s">
        <v>70</v>
      </c>
    </row>
    <row r="47" ht="22.5" customHeight="1">
      <c r="A47" s="3" t="s">
        <v>63</v>
      </c>
      <c r="B47" s="3" t="s">
        <v>7</v>
      </c>
      <c r="C47" s="3">
        <v>70584.47</v>
      </c>
      <c r="D47" s="3">
        <v>4111.36</v>
      </c>
      <c r="E47" s="3">
        <v>5.82</v>
      </c>
      <c r="F47" s="3" t="s">
        <v>70</v>
      </c>
    </row>
    <row r="48" ht="22.5" customHeight="1">
      <c r="A48" s="3" t="s">
        <v>55</v>
      </c>
      <c r="B48" s="3" t="s">
        <v>7</v>
      </c>
      <c r="C48" s="3">
        <v>73001.78</v>
      </c>
      <c r="D48" s="3">
        <v>5558.56</v>
      </c>
      <c r="E48" s="3">
        <v>7.61</v>
      </c>
      <c r="F48" s="3" t="s">
        <v>70</v>
      </c>
    </row>
    <row r="49" ht="22.5" customHeight="1">
      <c r="A49" s="3" t="s">
        <v>57</v>
      </c>
      <c r="B49" s="3" t="s">
        <v>7</v>
      </c>
      <c r="C49" s="3">
        <v>76907.36</v>
      </c>
      <c r="D49" s="3">
        <v>6317.66</v>
      </c>
      <c r="E49" s="3">
        <v>8.21</v>
      </c>
      <c r="F49" s="3" t="s">
        <v>70</v>
      </c>
    </row>
    <row r="50" ht="22.5" customHeight="1">
      <c r="A50" s="3" t="s">
        <v>60</v>
      </c>
      <c r="B50" s="3" t="s">
        <v>7</v>
      </c>
      <c r="C50" s="3">
        <v>81677.37</v>
      </c>
      <c r="D50" s="3">
        <v>9632.31</v>
      </c>
      <c r="E50" s="3">
        <v>11.79</v>
      </c>
      <c r="F50" s="3" t="s">
        <v>70</v>
      </c>
    </row>
    <row r="51" ht="22.5" customHeight="1">
      <c r="A51" s="3" t="s">
        <v>61</v>
      </c>
      <c r="B51" s="3" t="s">
        <v>7</v>
      </c>
      <c r="C51" s="3">
        <v>29767.04</v>
      </c>
      <c r="D51" s="3">
        <v>4214.88</v>
      </c>
      <c r="E51" s="3">
        <v>14.16</v>
      </c>
      <c r="F51" s="3" t="s">
        <v>70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25"/>
    <col customWidth="1" min="3" max="3" width="18.13"/>
    <col customWidth="1" min="4" max="4" width="25.5"/>
    <col customWidth="1" min="5" max="5" width="23.0"/>
    <col customWidth="1" min="8" max="8" width="19.63"/>
    <col customWidth="1" min="9" max="9" width="18.75"/>
  </cols>
  <sheetData>
    <row r="1" ht="22.5" customHeight="1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7"/>
      <c r="H1" s="7"/>
      <c r="I1" s="7"/>
    </row>
    <row r="2" ht="22.5" customHeight="1">
      <c r="A2" s="1" t="s">
        <v>5</v>
      </c>
      <c r="B2" s="1">
        <v>45.0</v>
      </c>
      <c r="C2" s="1">
        <v>1.310015971E7</v>
      </c>
      <c r="D2" s="1">
        <v>7678691.79</v>
      </c>
      <c r="E2" s="1">
        <v>59.0</v>
      </c>
      <c r="G2" s="7"/>
      <c r="H2" s="7"/>
      <c r="I2" s="8"/>
    </row>
    <row r="3" ht="22.5" customHeight="1">
      <c r="A3" s="1" t="s">
        <v>7</v>
      </c>
      <c r="B3" s="1">
        <v>43.0</v>
      </c>
      <c r="C3" s="1">
        <v>623368.55</v>
      </c>
      <c r="D3" s="1">
        <v>324744.91</v>
      </c>
      <c r="E3" s="1">
        <v>51.0</v>
      </c>
      <c r="G3" s="7"/>
      <c r="H3" s="7"/>
      <c r="I3" s="8"/>
    </row>
    <row r="4" ht="22.5" customHeight="1">
      <c r="A4" s="1" t="s">
        <v>6</v>
      </c>
      <c r="B4" s="1">
        <v>112.0</v>
      </c>
      <c r="C4" s="1">
        <v>6950311.12</v>
      </c>
      <c r="D4" s="1">
        <v>3924208.19</v>
      </c>
      <c r="E4" s="1">
        <v>55.0</v>
      </c>
      <c r="G4" s="7"/>
      <c r="H4" s="7"/>
      <c r="I4" s="8"/>
    </row>
    <row r="6">
      <c r="D6" s="9"/>
      <c r="E6" s="7"/>
    </row>
    <row r="7">
      <c r="D7" s="9"/>
      <c r="E7" s="7"/>
    </row>
    <row r="8">
      <c r="D8" s="9"/>
      <c r="E8" s="7"/>
    </row>
    <row r="9">
      <c r="D9" s="9"/>
      <c r="E9" s="7"/>
    </row>
  </sheetData>
  <drawing r:id="rId1"/>
  <tableParts count="2">
    <tablePart r:id="rId4"/>
    <tablePart r:id="rId5"/>
  </tableParts>
</worksheet>
</file>